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OTISATIONS 2"/>
    <sheet r:id="rId2" sheetId="2" name="REMUNERATIONS"/>
    <sheet r:id="rId3" sheetId="3" name="COTISATIONS"/>
  </sheets>
  <calcPr fullCalcOnLoad="1"/>
</workbook>
</file>

<file path=xl/sharedStrings.xml><?xml version="1.0" encoding="utf-8"?>
<sst xmlns="http://schemas.openxmlformats.org/spreadsheetml/2006/main" count="468" uniqueCount="169">
  <si>
    <t>Mois</t>
  </si>
  <si>
    <t>Salaire</t>
  </si>
  <si>
    <t>Plafond d'une cotisation X</t>
  </si>
  <si>
    <t>Base de cotisation</t>
  </si>
  <si>
    <t>TA</t>
  </si>
  <si>
    <t>TB</t>
  </si>
  <si>
    <t>Janvier</t>
  </si>
  <si>
    <t>Février</t>
  </si>
  <si>
    <t>Mars</t>
  </si>
  <si>
    <t>Avril</t>
  </si>
  <si>
    <t>Plafond jusqu'en mars</t>
  </si>
  <si>
    <t>Base de cot jusqu'en mars</t>
  </si>
  <si>
    <t>2500+2500</t>
  </si>
  <si>
    <t>En TA tu peux cotiser jusqu'à</t>
  </si>
  <si>
    <t>10500-5000</t>
  </si>
  <si>
    <t>En mars tu as une base de 10000</t>
  </si>
  <si>
    <t>tu cotises sur 5500 en TA</t>
  </si>
  <si>
    <t>Et (10 000 - 5500) = 4500 en TB</t>
  </si>
  <si>
    <t>Rémunération</t>
  </si>
  <si>
    <t>Libellé</t>
  </si>
  <si>
    <t>Calcul</t>
  </si>
  <si>
    <t>Cotisable MC  ?</t>
  </si>
  <si>
    <t>Cotisable autres cot ?</t>
  </si>
  <si>
    <t>Base CP</t>
  </si>
  <si>
    <t>Imposable ?</t>
  </si>
  <si>
    <t>Ajout fiche société</t>
  </si>
  <si>
    <t>Ajout manuel col</t>
  </si>
  <si>
    <t>Presence obligatoire</t>
  </si>
  <si>
    <t>Ajout automatique</t>
  </si>
  <si>
    <t>Raison ajout</t>
  </si>
  <si>
    <t>0003</t>
  </si>
  <si>
    <t>Salaire Mensuel</t>
  </si>
  <si>
    <t>Base / montant</t>
  </si>
  <si>
    <t>X</t>
  </si>
  <si>
    <t>0005</t>
  </si>
  <si>
    <t>Base * taux</t>
  </si>
  <si>
    <t>0021</t>
  </si>
  <si>
    <t>Déduction entrée</t>
  </si>
  <si>
    <t>Base</t>
  </si>
  <si>
    <t>Suivant date de sortie du salarié</t>
  </si>
  <si>
    <t>0023</t>
  </si>
  <si>
    <t>Déduction départ</t>
  </si>
  <si>
    <t>Suivant date d'entrée du salarié</t>
  </si>
  <si>
    <t>0501</t>
  </si>
  <si>
    <t>Indem. compensatrice de préavis</t>
  </si>
  <si>
    <t>Montant</t>
  </si>
  <si>
    <t>Suivant modalité sortie salarié</t>
  </si>
  <si>
    <t>1001</t>
  </si>
  <si>
    <t>Prime Ancienneté</t>
  </si>
  <si>
    <t>A calculer : strategie pour base et strategie pour taux</t>
  </si>
  <si>
    <t>En fct de la fiche société</t>
  </si>
  <si>
    <t>1031</t>
  </si>
  <si>
    <t>Prime de panier chantier &gt; exo</t>
  </si>
  <si>
    <t>1041</t>
  </si>
  <si>
    <t>Prime de panier chantier &lt; exo</t>
  </si>
  <si>
    <t>1061</t>
  </si>
  <si>
    <t>Indemnité temps déplacement&lt;35 kms</t>
  </si>
  <si>
    <t>1063</t>
  </si>
  <si>
    <t>Indemnité temps déplacement&gt;35 kms</t>
  </si>
  <si>
    <t>2001</t>
  </si>
  <si>
    <t>Heures supplémentaires 125 %</t>
  </si>
  <si>
    <t>2011</t>
  </si>
  <si>
    <t>Heures supplémentaires 200 %</t>
  </si>
  <si>
    <t>2013</t>
  </si>
  <si>
    <t>Heures supplémentaires 150 %</t>
  </si>
  <si>
    <t>2021</t>
  </si>
  <si>
    <t>Heures complémentaires</t>
  </si>
  <si>
    <t>2023</t>
  </si>
  <si>
    <t>Prime exceptionnelle</t>
  </si>
  <si>
    <t>2031</t>
  </si>
  <si>
    <t>13ème mois</t>
  </si>
  <si>
    <t>2033</t>
  </si>
  <si>
    <t>14ème mois</t>
  </si>
  <si>
    <t>2041</t>
  </si>
  <si>
    <t>Prime</t>
  </si>
  <si>
    <t>2053</t>
  </si>
  <si>
    <t>Sentens Piens</t>
  </si>
  <si>
    <t>2061</t>
  </si>
  <si>
    <t>Commissions</t>
  </si>
  <si>
    <t>2081</t>
  </si>
  <si>
    <t>Jours fériés 100%</t>
  </si>
  <si>
    <t>2083</t>
  </si>
  <si>
    <t>Jours fériés 200%</t>
  </si>
  <si>
    <t>2881</t>
  </si>
  <si>
    <t>Maintien Salaire</t>
  </si>
  <si>
    <t xml:space="preserve">Montant </t>
  </si>
  <si>
    <t>En fct saisie absence</t>
  </si>
  <si>
    <t>2991</t>
  </si>
  <si>
    <t>Absence maladie</t>
  </si>
  <si>
    <t>2993</t>
  </si>
  <si>
    <t>Maintien salaire maladie</t>
  </si>
  <si>
    <t>3001</t>
  </si>
  <si>
    <t>Absence non rémunérée</t>
  </si>
  <si>
    <t>3003</t>
  </si>
  <si>
    <t>Absence congé sans solde</t>
  </si>
  <si>
    <t>3041</t>
  </si>
  <si>
    <t>Absence maternité</t>
  </si>
  <si>
    <t>3043</t>
  </si>
  <si>
    <t>Maintien salaire maternité</t>
  </si>
  <si>
    <t>3051</t>
  </si>
  <si>
    <t>Absence accident de travail</t>
  </si>
  <si>
    <t>3053</t>
  </si>
  <si>
    <t>Maintien salaire accident  travail</t>
  </si>
  <si>
    <t>3201</t>
  </si>
  <si>
    <t>Absence congés payés</t>
  </si>
  <si>
    <t>Base calculée</t>
  </si>
  <si>
    <t>En fct saisie CP</t>
  </si>
  <si>
    <t>4271</t>
  </si>
  <si>
    <t>Indemnité congés payés</t>
  </si>
  <si>
    <t>Automatique</t>
  </si>
  <si>
    <t>4283</t>
  </si>
  <si>
    <t>Prime de précarité</t>
  </si>
  <si>
    <t>En fct fiche sortie du salarié</t>
  </si>
  <si>
    <t>4301</t>
  </si>
  <si>
    <t>Indemnité compens. congés payés</t>
  </si>
  <si>
    <t>si sortie du salarié</t>
  </si>
  <si>
    <t>4303</t>
  </si>
  <si>
    <t>Indem. Compensatrice CP (N-1)</t>
  </si>
  <si>
    <t>4311</t>
  </si>
  <si>
    <t>Indem Compensatrice CP (N)</t>
  </si>
  <si>
    <t>4401</t>
  </si>
  <si>
    <t>Indemnité de départ à la retraite</t>
  </si>
  <si>
    <t>4403</t>
  </si>
  <si>
    <t>Indemnit.départ retraite volontaire</t>
  </si>
  <si>
    <t>5011</t>
  </si>
  <si>
    <t>Avantage en nature repas</t>
  </si>
  <si>
    <t>5021</t>
  </si>
  <si>
    <t>Avantage en nature logement</t>
  </si>
  <si>
    <t>5023</t>
  </si>
  <si>
    <t>Avantage en nature voiture</t>
  </si>
  <si>
    <t>7061</t>
  </si>
  <si>
    <t>Tickets restaurant</t>
  </si>
  <si>
    <t>7121</t>
  </si>
  <si>
    <t>Avance sur salaire</t>
  </si>
  <si>
    <t>7131</t>
  </si>
  <si>
    <t>Acompte</t>
  </si>
  <si>
    <t>7301</t>
  </si>
  <si>
    <t>Prime 5% MC</t>
  </si>
  <si>
    <t>En fct fiche société</t>
  </si>
  <si>
    <t>9993</t>
  </si>
  <si>
    <t>Prime 5% MC cotisable</t>
  </si>
  <si>
    <t>9851</t>
  </si>
  <si>
    <t>Frais de télétravail</t>
  </si>
  <si>
    <t>9861</t>
  </si>
  <si>
    <t>Prime de panier non déductible</t>
  </si>
  <si>
    <t>9873</t>
  </si>
  <si>
    <t>Prime de panier déductible</t>
  </si>
  <si>
    <t>9881</t>
  </si>
  <si>
    <t>Indemnité de licenciement</t>
  </si>
  <si>
    <t>9893</t>
  </si>
  <si>
    <t>Indemnité de congédiement</t>
  </si>
  <si>
    <t>Cotisations</t>
  </si>
  <si>
    <t>Prédéfini</t>
  </si>
  <si>
    <t>Organisme</t>
  </si>
  <si>
    <t>Date de validite</t>
  </si>
  <si>
    <t>CAR</t>
  </si>
  <si>
    <t>STD</t>
  </si>
  <si>
    <t>Base * taux salarial et patronal</t>
  </si>
  <si>
    <t>CCSS</t>
  </si>
  <si>
    <t>CMRC</t>
  </si>
  <si>
    <t>X (8 fois le plafond)</t>
  </si>
  <si>
    <t>UNEDIC (Assurance Chomage)</t>
  </si>
  <si>
    <t>UNEDIC</t>
  </si>
  <si>
    <t>PREVOYANCE</t>
  </si>
  <si>
    <t>X( ?)</t>
  </si>
  <si>
    <t xml:space="preserve">Base * taux salarial et patronal </t>
  </si>
  <si>
    <t>parametrable fiche société</t>
  </si>
  <si>
    <t>MUTUELLE</t>
  </si>
  <si>
    <t>COTISATIONS LIBRES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</si>
</sst>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1" applyBorder="1" fontId="2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49" applyNumberFormat="1" borderId="1" applyBorder="1" fontId="2" applyFont="1" fillId="0" applyAlignment="1">
      <alignment horizontal="lef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0" width="12.43357142857143" customWidth="1" bestFit="1"/>
    <col min="2" max="2" style="11" width="55.86214285714286" customWidth="1" bestFit="1"/>
    <col min="3" max="3" style="11" width="9.290714285714287" customWidth="1" bestFit="1"/>
    <col min="4" max="4" style="11" width="10.576428571428572" customWidth="1" bestFit="1"/>
    <col min="5" max="5" style="11" width="9.290714285714287" customWidth="1" bestFit="1"/>
    <col min="6" max="6" style="11" width="18.290714285714284" customWidth="1" bestFit="1"/>
    <col min="7" max="7" style="11" width="18.290714285714284" customWidth="1" bestFit="1"/>
    <col min="8" max="8" style="11" width="46.005" customWidth="1" bestFit="1"/>
    <col min="9" max="9" style="11" width="25.005" customWidth="1" bestFit="1"/>
    <col min="10" max="10" style="11" width="19.576428571428572" customWidth="1" bestFit="1"/>
  </cols>
  <sheetData>
    <row x14ac:dyDescent="0.25" r="1" customHeight="1" ht="17.25">
      <c r="A1" s="18" t="s">
        <v>151</v>
      </c>
      <c r="B1" s="7" t="s">
        <v>19</v>
      </c>
      <c r="C1" s="7" t="s">
        <v>152</v>
      </c>
      <c r="D1" s="7" t="s">
        <v>153</v>
      </c>
      <c r="E1" s="7" t="s">
        <v>4</v>
      </c>
      <c r="F1" s="7" t="s">
        <v>5</v>
      </c>
      <c r="G1" s="7" t="s">
        <v>154</v>
      </c>
      <c r="H1" s="7" t="s">
        <v>20</v>
      </c>
      <c r="I1" s="7"/>
      <c r="J1" s="1" t="s">
        <v>27</v>
      </c>
    </row>
    <row x14ac:dyDescent="0.25" r="2" customHeight="1" ht="17.25">
      <c r="A2" s="19">
        <v>1</v>
      </c>
      <c r="B2" s="7" t="s">
        <v>155</v>
      </c>
      <c r="C2" s="7" t="s">
        <v>156</v>
      </c>
      <c r="D2" s="7" t="s">
        <v>155</v>
      </c>
      <c r="E2" s="7" t="s">
        <v>33</v>
      </c>
      <c r="F2" s="7"/>
      <c r="G2" s="7"/>
      <c r="H2" s="7" t="s">
        <v>157</v>
      </c>
      <c r="I2" s="7"/>
      <c r="J2" s="1" t="s">
        <v>33</v>
      </c>
    </row>
    <row x14ac:dyDescent="0.25" r="3" customHeight="1" ht="17.25">
      <c r="A3" s="19">
        <v>2</v>
      </c>
      <c r="B3" s="7" t="s">
        <v>158</v>
      </c>
      <c r="C3" s="7" t="s">
        <v>156</v>
      </c>
      <c r="D3" s="7" t="s">
        <v>158</v>
      </c>
      <c r="E3" s="7" t="s">
        <v>33</v>
      </c>
      <c r="F3" s="7"/>
      <c r="G3" s="7"/>
      <c r="H3" s="7"/>
      <c r="I3" s="7"/>
      <c r="J3" s="1" t="s">
        <v>33</v>
      </c>
    </row>
    <row x14ac:dyDescent="0.25" r="4" customHeight="1" ht="17.25">
      <c r="A4" s="19">
        <v>3</v>
      </c>
      <c r="B4" s="7" t="s">
        <v>159</v>
      </c>
      <c r="C4" s="7" t="s">
        <v>156</v>
      </c>
      <c r="D4" s="7" t="s">
        <v>159</v>
      </c>
      <c r="E4" s="7" t="s">
        <v>33</v>
      </c>
      <c r="F4" s="7" t="s">
        <v>160</v>
      </c>
      <c r="G4" s="7"/>
      <c r="H4" s="7"/>
      <c r="I4" s="7"/>
      <c r="J4" s="1" t="s">
        <v>33</v>
      </c>
    </row>
    <row x14ac:dyDescent="0.25" r="5" customHeight="1" ht="17.25">
      <c r="A5" s="19">
        <v>4</v>
      </c>
      <c r="B5" s="7" t="s">
        <v>161</v>
      </c>
      <c r="C5" s="7" t="s">
        <v>156</v>
      </c>
      <c r="D5" s="7" t="s">
        <v>162</v>
      </c>
      <c r="E5" s="7" t="s">
        <v>33</v>
      </c>
      <c r="F5" s="7"/>
      <c r="G5" s="7"/>
      <c r="H5" s="7"/>
      <c r="I5" s="7"/>
      <c r="J5" s="1" t="s">
        <v>33</v>
      </c>
    </row>
    <row x14ac:dyDescent="0.25" r="6" customHeight="1" ht="17.25">
      <c r="A6" s="18"/>
      <c r="B6" s="7"/>
      <c r="C6" s="7"/>
      <c r="D6" s="7"/>
      <c r="E6" s="7"/>
      <c r="F6" s="7"/>
      <c r="G6" s="7"/>
      <c r="H6" s="7"/>
      <c r="I6" s="7"/>
      <c r="J6" s="7"/>
    </row>
    <row x14ac:dyDescent="0.25" r="7" customHeight="1" ht="17.25">
      <c r="A7" s="19">
        <v>5</v>
      </c>
      <c r="B7" s="7" t="s">
        <v>163</v>
      </c>
      <c r="C7" s="7"/>
      <c r="D7" s="7"/>
      <c r="E7" s="7" t="s">
        <v>33</v>
      </c>
      <c r="F7" s="7" t="s">
        <v>164</v>
      </c>
      <c r="G7" s="7"/>
      <c r="H7" s="7" t="s">
        <v>165</v>
      </c>
      <c r="I7" s="1" t="s">
        <v>166</v>
      </c>
      <c r="J7" s="7"/>
    </row>
    <row x14ac:dyDescent="0.25" r="8" customHeight="1" ht="17.25">
      <c r="A8" s="19">
        <v>6</v>
      </c>
      <c r="B8" s="7" t="s">
        <v>167</v>
      </c>
      <c r="C8" s="7"/>
      <c r="D8" s="7"/>
      <c r="E8" s="7" t="s">
        <v>33</v>
      </c>
      <c r="F8" s="7"/>
      <c r="G8" s="7"/>
      <c r="H8" s="7" t="s">
        <v>165</v>
      </c>
      <c r="I8" s="1" t="s">
        <v>166</v>
      </c>
      <c r="J8" s="7"/>
    </row>
    <row x14ac:dyDescent="0.25" r="9" customHeight="1" ht="17.25">
      <c r="A9" s="18"/>
      <c r="B9" s="7"/>
      <c r="C9" s="7"/>
      <c r="D9" s="7"/>
      <c r="E9" s="7"/>
      <c r="F9" s="7"/>
      <c r="G9" s="7"/>
      <c r="H9" s="7"/>
      <c r="I9" s="7"/>
      <c r="J9" s="7"/>
    </row>
    <row x14ac:dyDescent="0.25" r="10" customHeight="1" ht="17.25">
      <c r="A10" s="19">
        <v>7</v>
      </c>
      <c r="B10" s="7" t="s">
        <v>168</v>
      </c>
      <c r="C10" s="7"/>
      <c r="D10" s="7"/>
      <c r="E10" s="7"/>
      <c r="F10" s="7"/>
      <c r="G10" s="7"/>
      <c r="H10" s="7"/>
      <c r="I10" s="7"/>
      <c r="J1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6" width="12.43357142857143" customWidth="1" bestFit="1"/>
    <col min="2" max="2" style="11" width="41.43357142857143" customWidth="1" bestFit="1"/>
    <col min="3" max="3" style="11" width="50.29071428571429" customWidth="1" bestFit="1"/>
    <col min="4" max="4" style="17" width="14.576428571428572" customWidth="1" bestFit="1"/>
    <col min="5" max="5" style="17" width="20.005" customWidth="1" bestFit="1"/>
    <col min="6" max="6" style="17" width="11.576428571428572" customWidth="1" bestFit="1"/>
    <col min="7" max="7" style="11" width="11.576428571428572" customWidth="1" bestFit="1"/>
    <col min="8" max="8" style="11" width="17.719285714285714" customWidth="1" bestFit="1"/>
    <col min="9" max="9" style="17" width="16.14785714285714" customWidth="1" bestFit="1"/>
    <col min="10" max="10" style="11" width="19.576428571428572" customWidth="1" bestFit="1"/>
    <col min="11" max="11" style="11" width="17.862142857142857" customWidth="1" bestFit="1"/>
    <col min="12" max="12" style="11" width="29.576428571428572" customWidth="1" bestFit="1"/>
  </cols>
  <sheetData>
    <row x14ac:dyDescent="0.25" r="1" customHeight="1" ht="17.25">
      <c r="A1" s="13" t="s">
        <v>18</v>
      </c>
      <c r="B1" s="7" t="s">
        <v>19</v>
      </c>
      <c r="C1" s="7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x14ac:dyDescent="0.25" r="2" customHeight="1" ht="17.25">
      <c r="A2" s="13" t="s">
        <v>30</v>
      </c>
      <c r="B2" s="7" t="s">
        <v>31</v>
      </c>
      <c r="C2" s="7" t="s">
        <v>32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4"/>
      <c r="J2" s="7"/>
      <c r="K2" s="7"/>
      <c r="L2" s="7"/>
    </row>
    <row x14ac:dyDescent="0.25" r="3" customHeight="1" ht="19.5">
      <c r="A3" s="15" t="s">
        <v>34</v>
      </c>
      <c r="B3" s="7" t="s">
        <v>31</v>
      </c>
      <c r="C3" s="7" t="s">
        <v>35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4"/>
      <c r="J3" s="7"/>
      <c r="K3" s="7"/>
      <c r="L3" s="7"/>
    </row>
    <row x14ac:dyDescent="0.25" r="4" customHeight="1" ht="17.25">
      <c r="A4" s="13" t="s">
        <v>36</v>
      </c>
      <c r="B4" s="7" t="s">
        <v>37</v>
      </c>
      <c r="C4" s="7" t="s">
        <v>38</v>
      </c>
      <c r="D4" s="1" t="s">
        <v>33</v>
      </c>
      <c r="E4" s="1" t="s">
        <v>33</v>
      </c>
      <c r="F4" s="1" t="s">
        <v>33</v>
      </c>
      <c r="G4" s="1" t="s">
        <v>33</v>
      </c>
      <c r="H4" s="7"/>
      <c r="I4" s="14"/>
      <c r="J4" s="7"/>
      <c r="K4" s="1" t="s">
        <v>33</v>
      </c>
      <c r="L4" s="7" t="s">
        <v>39</v>
      </c>
    </row>
    <row x14ac:dyDescent="0.25" r="5" customHeight="1" ht="17.25">
      <c r="A5" s="13" t="s">
        <v>40</v>
      </c>
      <c r="B5" s="7" t="s">
        <v>41</v>
      </c>
      <c r="C5" s="7" t="s">
        <v>38</v>
      </c>
      <c r="D5" s="1" t="s">
        <v>33</v>
      </c>
      <c r="E5" s="1" t="s">
        <v>33</v>
      </c>
      <c r="F5" s="1" t="s">
        <v>33</v>
      </c>
      <c r="G5" s="1" t="s">
        <v>33</v>
      </c>
      <c r="H5" s="7"/>
      <c r="I5" s="14"/>
      <c r="J5" s="7"/>
      <c r="K5" s="1" t="s">
        <v>33</v>
      </c>
      <c r="L5" s="7" t="s">
        <v>42</v>
      </c>
    </row>
    <row x14ac:dyDescent="0.25" r="6" customHeight="1" ht="17.25">
      <c r="A6" s="13" t="s">
        <v>43</v>
      </c>
      <c r="B6" s="7" t="s">
        <v>44</v>
      </c>
      <c r="C6" s="7" t="s">
        <v>45</v>
      </c>
      <c r="D6" s="1" t="s">
        <v>33</v>
      </c>
      <c r="E6" s="1" t="s">
        <v>33</v>
      </c>
      <c r="F6" s="1" t="s">
        <v>33</v>
      </c>
      <c r="G6" s="1" t="s">
        <v>33</v>
      </c>
      <c r="H6" s="7"/>
      <c r="I6" s="14"/>
      <c r="J6" s="7"/>
      <c r="K6" s="1" t="s">
        <v>33</v>
      </c>
      <c r="L6" s="7" t="s">
        <v>46</v>
      </c>
    </row>
    <row x14ac:dyDescent="0.25" r="7" customHeight="1" ht="17.25">
      <c r="A7" s="13" t="s">
        <v>47</v>
      </c>
      <c r="B7" s="7" t="s">
        <v>48</v>
      </c>
      <c r="C7" s="7" t="s">
        <v>49</v>
      </c>
      <c r="D7" s="1" t="s">
        <v>33</v>
      </c>
      <c r="E7" s="1" t="s">
        <v>33</v>
      </c>
      <c r="F7" s="1" t="s">
        <v>33</v>
      </c>
      <c r="G7" s="1" t="s">
        <v>33</v>
      </c>
      <c r="H7" s="7"/>
      <c r="I7" s="14"/>
      <c r="J7" s="1" t="s">
        <v>33</v>
      </c>
      <c r="K7" s="7"/>
      <c r="L7" s="7" t="s">
        <v>50</v>
      </c>
    </row>
    <row x14ac:dyDescent="0.25" r="8" customHeight="1" ht="17.25">
      <c r="A8" s="13" t="s">
        <v>51</v>
      </c>
      <c r="B8" s="7" t="s">
        <v>52</v>
      </c>
      <c r="C8" s="7" t="s">
        <v>35</v>
      </c>
      <c r="D8" s="1" t="s">
        <v>33</v>
      </c>
      <c r="E8" s="1" t="s">
        <v>33</v>
      </c>
      <c r="F8" s="1" t="s">
        <v>33</v>
      </c>
      <c r="G8" s="1" t="s">
        <v>33</v>
      </c>
      <c r="H8" s="1" t="s">
        <v>33</v>
      </c>
      <c r="I8" s="14"/>
      <c r="J8" s="7"/>
      <c r="K8" s="7"/>
      <c r="L8" s="7"/>
    </row>
    <row x14ac:dyDescent="0.25" r="9" customHeight="1" ht="17.25">
      <c r="A9" s="13" t="s">
        <v>53</v>
      </c>
      <c r="B9" s="7" t="s">
        <v>54</v>
      </c>
      <c r="C9" s="7" t="s">
        <v>35</v>
      </c>
      <c r="D9" s="1" t="s">
        <v>33</v>
      </c>
      <c r="E9" s="1" t="s">
        <v>33</v>
      </c>
      <c r="F9" s="1" t="s">
        <v>33</v>
      </c>
      <c r="G9" s="1" t="s">
        <v>33</v>
      </c>
      <c r="H9" s="1" t="s">
        <v>33</v>
      </c>
      <c r="I9" s="14"/>
      <c r="J9" s="7"/>
      <c r="K9" s="7"/>
      <c r="L9" s="7"/>
    </row>
    <row x14ac:dyDescent="0.25" r="10" customHeight="1" ht="17.25">
      <c r="A10" s="13" t="s">
        <v>55</v>
      </c>
      <c r="B10" s="7" t="s">
        <v>56</v>
      </c>
      <c r="C10" s="7" t="s">
        <v>35</v>
      </c>
      <c r="D10" s="1" t="s">
        <v>33</v>
      </c>
      <c r="E10" s="1" t="s">
        <v>33</v>
      </c>
      <c r="F10" s="1" t="s">
        <v>33</v>
      </c>
      <c r="G10" s="1" t="s">
        <v>33</v>
      </c>
      <c r="H10" s="1" t="s">
        <v>33</v>
      </c>
      <c r="I10" s="14"/>
      <c r="J10" s="7"/>
      <c r="K10" s="7"/>
      <c r="L10" s="7"/>
    </row>
    <row x14ac:dyDescent="0.25" r="11" customHeight="1" ht="17.25">
      <c r="A11" s="13" t="s">
        <v>57</v>
      </c>
      <c r="B11" s="7" t="s">
        <v>58</v>
      </c>
      <c r="C11" s="7" t="s">
        <v>35</v>
      </c>
      <c r="D11" s="1" t="s">
        <v>33</v>
      </c>
      <c r="E11" s="1" t="s">
        <v>33</v>
      </c>
      <c r="F11" s="1" t="s">
        <v>33</v>
      </c>
      <c r="G11" s="1" t="s">
        <v>33</v>
      </c>
      <c r="H11" s="1" t="s">
        <v>33</v>
      </c>
      <c r="I11" s="14"/>
      <c r="J11" s="7"/>
      <c r="K11" s="7"/>
      <c r="L11" s="7"/>
    </row>
    <row x14ac:dyDescent="0.25" r="12" customHeight="1" ht="17.25">
      <c r="A12" s="13" t="s">
        <v>59</v>
      </c>
      <c r="B12" s="7" t="s">
        <v>60</v>
      </c>
      <c r="C12" s="7" t="s">
        <v>38</v>
      </c>
      <c r="D12" s="1" t="s">
        <v>33</v>
      </c>
      <c r="E12" s="1" t="s">
        <v>33</v>
      </c>
      <c r="F12" s="1" t="s">
        <v>33</v>
      </c>
      <c r="G12" s="1" t="s">
        <v>33</v>
      </c>
      <c r="H12" s="7"/>
      <c r="I12" s="1" t="s">
        <v>33</v>
      </c>
      <c r="J12" s="7"/>
      <c r="K12" s="7"/>
      <c r="L12" s="7"/>
    </row>
    <row x14ac:dyDescent="0.25" r="13" customHeight="1" ht="17.25">
      <c r="A13" s="13" t="s">
        <v>61</v>
      </c>
      <c r="B13" s="7" t="s">
        <v>62</v>
      </c>
      <c r="C13" s="7" t="s">
        <v>38</v>
      </c>
      <c r="D13" s="1" t="s">
        <v>33</v>
      </c>
      <c r="E13" s="1" t="s">
        <v>33</v>
      </c>
      <c r="F13" s="1" t="s">
        <v>33</v>
      </c>
      <c r="G13" s="1" t="s">
        <v>33</v>
      </c>
      <c r="H13" s="7"/>
      <c r="I13" s="1" t="s">
        <v>33</v>
      </c>
      <c r="J13" s="7"/>
      <c r="K13" s="7"/>
      <c r="L13" s="7"/>
    </row>
    <row x14ac:dyDescent="0.25" r="14" customHeight="1" ht="17.25">
      <c r="A14" s="13" t="s">
        <v>63</v>
      </c>
      <c r="B14" s="7" t="s">
        <v>64</v>
      </c>
      <c r="C14" s="7" t="s">
        <v>38</v>
      </c>
      <c r="D14" s="1" t="s">
        <v>33</v>
      </c>
      <c r="E14" s="1" t="s">
        <v>33</v>
      </c>
      <c r="F14" s="1" t="s">
        <v>33</v>
      </c>
      <c r="G14" s="1" t="s">
        <v>33</v>
      </c>
      <c r="H14" s="7"/>
      <c r="I14" s="1" t="s">
        <v>33</v>
      </c>
      <c r="J14" s="7"/>
      <c r="K14" s="7"/>
      <c r="L14" s="7"/>
    </row>
    <row x14ac:dyDescent="0.25" r="15" customHeight="1" ht="17.25">
      <c r="A15" s="13" t="s">
        <v>65</v>
      </c>
      <c r="B15" s="7" t="s">
        <v>66</v>
      </c>
      <c r="C15" s="7" t="s">
        <v>38</v>
      </c>
      <c r="D15" s="1" t="s">
        <v>33</v>
      </c>
      <c r="E15" s="1" t="s">
        <v>33</v>
      </c>
      <c r="F15" s="1" t="s">
        <v>33</v>
      </c>
      <c r="G15" s="1" t="s">
        <v>33</v>
      </c>
      <c r="H15" s="7"/>
      <c r="I15" s="1" t="s">
        <v>33</v>
      </c>
      <c r="J15" s="7"/>
      <c r="K15" s="7"/>
      <c r="L15" s="7"/>
    </row>
    <row x14ac:dyDescent="0.25" r="16" customHeight="1" ht="17.25">
      <c r="A16" s="13" t="s">
        <v>67</v>
      </c>
      <c r="B16" s="7" t="s">
        <v>68</v>
      </c>
      <c r="C16" s="7" t="s">
        <v>45</v>
      </c>
      <c r="D16" s="1" t="s">
        <v>33</v>
      </c>
      <c r="E16" s="1" t="s">
        <v>33</v>
      </c>
      <c r="F16" s="1" t="s">
        <v>33</v>
      </c>
      <c r="G16" s="1" t="s">
        <v>33</v>
      </c>
      <c r="H16" s="7"/>
      <c r="I16" s="1" t="s">
        <v>33</v>
      </c>
      <c r="J16" s="7"/>
      <c r="K16" s="7"/>
      <c r="L16" s="7"/>
    </row>
    <row x14ac:dyDescent="0.25" r="17" customHeight="1" ht="17.25">
      <c r="A17" s="13" t="s">
        <v>69</v>
      </c>
      <c r="B17" s="7" t="s">
        <v>70</v>
      </c>
      <c r="C17" s="7" t="s">
        <v>45</v>
      </c>
      <c r="D17" s="1" t="s">
        <v>33</v>
      </c>
      <c r="E17" s="1" t="s">
        <v>33</v>
      </c>
      <c r="F17" s="1" t="s">
        <v>33</v>
      </c>
      <c r="G17" s="1" t="s">
        <v>33</v>
      </c>
      <c r="H17" s="7"/>
      <c r="I17" s="1" t="s">
        <v>33</v>
      </c>
      <c r="J17" s="7"/>
      <c r="K17" s="7"/>
      <c r="L17" s="7"/>
    </row>
    <row x14ac:dyDescent="0.25" r="18" customHeight="1" ht="17.25">
      <c r="A18" s="13" t="s">
        <v>71</v>
      </c>
      <c r="B18" s="7" t="s">
        <v>72</v>
      </c>
      <c r="C18" s="7" t="s">
        <v>45</v>
      </c>
      <c r="D18" s="1" t="s">
        <v>33</v>
      </c>
      <c r="E18" s="1" t="s">
        <v>33</v>
      </c>
      <c r="F18" s="1" t="s">
        <v>33</v>
      </c>
      <c r="G18" s="1" t="s">
        <v>33</v>
      </c>
      <c r="H18" s="7"/>
      <c r="I18" s="1" t="s">
        <v>33</v>
      </c>
      <c r="J18" s="7"/>
      <c r="K18" s="7"/>
      <c r="L18" s="7"/>
    </row>
    <row x14ac:dyDescent="0.25" r="19" customHeight="1" ht="17.25">
      <c r="A19" s="13" t="s">
        <v>73</v>
      </c>
      <c r="B19" s="7" t="s">
        <v>74</v>
      </c>
      <c r="C19" s="7" t="s">
        <v>45</v>
      </c>
      <c r="D19" s="1" t="s">
        <v>33</v>
      </c>
      <c r="E19" s="1" t="s">
        <v>33</v>
      </c>
      <c r="F19" s="1" t="s">
        <v>33</v>
      </c>
      <c r="G19" s="1" t="s">
        <v>33</v>
      </c>
      <c r="H19" s="7"/>
      <c r="I19" s="1" t="s">
        <v>33</v>
      </c>
      <c r="J19" s="7"/>
      <c r="K19" s="7"/>
      <c r="L19" s="7"/>
    </row>
    <row x14ac:dyDescent="0.25" r="20" customHeight="1" ht="17.25">
      <c r="A20" s="13" t="s">
        <v>75</v>
      </c>
      <c r="B20" s="7" t="s">
        <v>76</v>
      </c>
      <c r="C20" s="7" t="s">
        <v>45</v>
      </c>
      <c r="D20" s="1" t="s">
        <v>33</v>
      </c>
      <c r="E20" s="1" t="s">
        <v>33</v>
      </c>
      <c r="F20" s="1" t="s">
        <v>33</v>
      </c>
      <c r="G20" s="1" t="s">
        <v>33</v>
      </c>
      <c r="H20" s="1" t="s">
        <v>33</v>
      </c>
      <c r="I20" s="14"/>
      <c r="J20" s="7"/>
      <c r="K20" s="7"/>
      <c r="L20" s="7" t="s">
        <v>50</v>
      </c>
    </row>
    <row x14ac:dyDescent="0.25" r="21" customHeight="1" ht="17.25">
      <c r="A21" s="13" t="s">
        <v>77</v>
      </c>
      <c r="B21" s="7" t="s">
        <v>78</v>
      </c>
      <c r="C21" s="7" t="s">
        <v>45</v>
      </c>
      <c r="D21" s="1" t="s">
        <v>33</v>
      </c>
      <c r="E21" s="1" t="s">
        <v>33</v>
      </c>
      <c r="F21" s="1" t="s">
        <v>33</v>
      </c>
      <c r="G21" s="1" t="s">
        <v>33</v>
      </c>
      <c r="H21" s="7"/>
      <c r="I21" s="1" t="s">
        <v>33</v>
      </c>
      <c r="J21" s="7"/>
      <c r="K21" s="7"/>
      <c r="L21" s="7"/>
    </row>
    <row x14ac:dyDescent="0.25" r="22" customHeight="1" ht="17.25">
      <c r="A22" s="13" t="s">
        <v>79</v>
      </c>
      <c r="B22" s="7" t="s">
        <v>80</v>
      </c>
      <c r="C22" s="7" t="s">
        <v>38</v>
      </c>
      <c r="D22" s="1" t="s">
        <v>33</v>
      </c>
      <c r="E22" s="1" t="s">
        <v>33</v>
      </c>
      <c r="F22" s="1" t="s">
        <v>33</v>
      </c>
      <c r="G22" s="1" t="s">
        <v>33</v>
      </c>
      <c r="H22" s="7"/>
      <c r="I22" s="1" t="s">
        <v>33</v>
      </c>
      <c r="J22" s="7"/>
      <c r="K22" s="7"/>
      <c r="L22" s="7"/>
    </row>
    <row x14ac:dyDescent="0.25" r="23" customHeight="1" ht="17.25">
      <c r="A23" s="13" t="s">
        <v>81</v>
      </c>
      <c r="B23" s="7" t="s">
        <v>82</v>
      </c>
      <c r="C23" s="7" t="s">
        <v>38</v>
      </c>
      <c r="D23" s="1" t="s">
        <v>33</v>
      </c>
      <c r="E23" s="1" t="s">
        <v>33</v>
      </c>
      <c r="F23" s="1" t="s">
        <v>33</v>
      </c>
      <c r="G23" s="1" t="s">
        <v>33</v>
      </c>
      <c r="H23" s="7"/>
      <c r="I23" s="1" t="s">
        <v>33</v>
      </c>
      <c r="J23" s="7"/>
      <c r="K23" s="7"/>
      <c r="L23" s="7"/>
    </row>
    <row x14ac:dyDescent="0.25" r="24" customHeight="1" ht="17.25">
      <c r="A24" s="13" t="s">
        <v>83</v>
      </c>
      <c r="B24" s="7" t="s">
        <v>84</v>
      </c>
      <c r="C24" s="7" t="s">
        <v>85</v>
      </c>
      <c r="D24" s="14"/>
      <c r="E24" s="1" t="s">
        <v>33</v>
      </c>
      <c r="F24" s="1" t="s">
        <v>33</v>
      </c>
      <c r="G24" s="1" t="s">
        <v>33</v>
      </c>
      <c r="H24" s="7"/>
      <c r="I24" s="14"/>
      <c r="J24" s="7"/>
      <c r="K24" s="1" t="s">
        <v>33</v>
      </c>
      <c r="L24" s="7" t="s">
        <v>86</v>
      </c>
    </row>
    <row x14ac:dyDescent="0.25" r="25" customHeight="1" ht="17.25">
      <c r="A25" s="13" t="s">
        <v>87</v>
      </c>
      <c r="B25" s="7" t="s">
        <v>88</v>
      </c>
      <c r="C25" s="7" t="s">
        <v>38</v>
      </c>
      <c r="D25" s="1" t="s">
        <v>33</v>
      </c>
      <c r="E25" s="1" t="s">
        <v>33</v>
      </c>
      <c r="F25" s="1" t="s">
        <v>33</v>
      </c>
      <c r="G25" s="1" t="s">
        <v>33</v>
      </c>
      <c r="H25" s="7"/>
      <c r="I25" s="14"/>
      <c r="J25" s="7"/>
      <c r="K25" s="1" t="s">
        <v>33</v>
      </c>
      <c r="L25" s="7" t="s">
        <v>86</v>
      </c>
    </row>
    <row x14ac:dyDescent="0.25" r="26" customHeight="1" ht="17.25">
      <c r="A26" s="13" t="s">
        <v>89</v>
      </c>
      <c r="B26" s="7" t="s">
        <v>90</v>
      </c>
      <c r="C26" s="7" t="s">
        <v>45</v>
      </c>
      <c r="D26" s="14"/>
      <c r="E26" s="1" t="s">
        <v>33</v>
      </c>
      <c r="F26" s="1" t="s">
        <v>33</v>
      </c>
      <c r="G26" s="1" t="s">
        <v>33</v>
      </c>
      <c r="H26" s="7"/>
      <c r="I26" s="14"/>
      <c r="J26" s="7"/>
      <c r="K26" s="1" t="s">
        <v>33</v>
      </c>
      <c r="L26" s="7" t="s">
        <v>86</v>
      </c>
    </row>
    <row x14ac:dyDescent="0.25" r="27" customHeight="1" ht="17.25">
      <c r="A27" s="13" t="s">
        <v>91</v>
      </c>
      <c r="B27" s="7" t="s">
        <v>92</v>
      </c>
      <c r="C27" s="7" t="s">
        <v>38</v>
      </c>
      <c r="D27" s="1" t="s">
        <v>33</v>
      </c>
      <c r="E27" s="1" t="s">
        <v>33</v>
      </c>
      <c r="F27" s="1" t="s">
        <v>33</v>
      </c>
      <c r="G27" s="1" t="s">
        <v>33</v>
      </c>
      <c r="H27" s="7"/>
      <c r="I27" s="14"/>
      <c r="J27" s="7"/>
      <c r="K27" s="1" t="s">
        <v>33</v>
      </c>
      <c r="L27" s="7" t="s">
        <v>86</v>
      </c>
    </row>
    <row x14ac:dyDescent="0.25" r="28" customHeight="1" ht="17.25">
      <c r="A28" s="13" t="s">
        <v>93</v>
      </c>
      <c r="B28" s="7" t="s">
        <v>94</v>
      </c>
      <c r="C28" s="7" t="s">
        <v>38</v>
      </c>
      <c r="D28" s="1" t="s">
        <v>33</v>
      </c>
      <c r="E28" s="1" t="s">
        <v>33</v>
      </c>
      <c r="F28" s="1" t="s">
        <v>33</v>
      </c>
      <c r="G28" s="1" t="s">
        <v>33</v>
      </c>
      <c r="H28" s="7"/>
      <c r="I28" s="14"/>
      <c r="J28" s="7"/>
      <c r="K28" s="1" t="s">
        <v>33</v>
      </c>
      <c r="L28" s="7" t="s">
        <v>86</v>
      </c>
    </row>
    <row x14ac:dyDescent="0.25" r="29" customHeight="1" ht="17.25">
      <c r="A29" s="13" t="s">
        <v>95</v>
      </c>
      <c r="B29" s="7" t="s">
        <v>96</v>
      </c>
      <c r="C29" s="7" t="s">
        <v>38</v>
      </c>
      <c r="D29" s="1" t="s">
        <v>33</v>
      </c>
      <c r="E29" s="1" t="s">
        <v>33</v>
      </c>
      <c r="F29" s="1" t="s">
        <v>33</v>
      </c>
      <c r="G29" s="1" t="s">
        <v>33</v>
      </c>
      <c r="H29" s="7"/>
      <c r="I29" s="14"/>
      <c r="J29" s="7"/>
      <c r="K29" s="1" t="s">
        <v>33</v>
      </c>
      <c r="L29" s="7" t="s">
        <v>86</v>
      </c>
    </row>
    <row x14ac:dyDescent="0.25" r="30" customHeight="1" ht="17.25">
      <c r="A30" s="13" t="s">
        <v>97</v>
      </c>
      <c r="B30" s="7" t="s">
        <v>98</v>
      </c>
      <c r="C30" s="7" t="s">
        <v>38</v>
      </c>
      <c r="D30" s="14"/>
      <c r="E30" s="14"/>
      <c r="F30" s="1" t="s">
        <v>33</v>
      </c>
      <c r="G30" s="1" t="s">
        <v>33</v>
      </c>
      <c r="H30" s="7"/>
      <c r="I30" s="14"/>
      <c r="J30" s="7"/>
      <c r="K30" s="1" t="s">
        <v>33</v>
      </c>
      <c r="L30" s="7" t="s">
        <v>86</v>
      </c>
    </row>
    <row x14ac:dyDescent="0.25" r="31" customHeight="1" ht="17.25">
      <c r="A31" s="13" t="s">
        <v>99</v>
      </c>
      <c r="B31" s="7" t="s">
        <v>100</v>
      </c>
      <c r="C31" s="7" t="s">
        <v>38</v>
      </c>
      <c r="D31" s="1" t="s">
        <v>33</v>
      </c>
      <c r="E31" s="1" t="s">
        <v>33</v>
      </c>
      <c r="F31" s="1" t="s">
        <v>33</v>
      </c>
      <c r="G31" s="1" t="s">
        <v>33</v>
      </c>
      <c r="H31" s="7"/>
      <c r="I31" s="14"/>
      <c r="J31" s="7"/>
      <c r="K31" s="1" t="s">
        <v>33</v>
      </c>
      <c r="L31" s="7" t="s">
        <v>86</v>
      </c>
    </row>
    <row x14ac:dyDescent="0.25" r="32" customHeight="1" ht="17.25">
      <c r="A32" s="13" t="s">
        <v>101</v>
      </c>
      <c r="B32" s="7" t="s">
        <v>102</v>
      </c>
      <c r="C32" s="7" t="s">
        <v>38</v>
      </c>
      <c r="D32" s="14"/>
      <c r="E32" s="14"/>
      <c r="F32" s="1" t="s">
        <v>33</v>
      </c>
      <c r="G32" s="1" t="s">
        <v>33</v>
      </c>
      <c r="H32" s="7"/>
      <c r="I32" s="14"/>
      <c r="J32" s="7"/>
      <c r="K32" s="1" t="s">
        <v>33</v>
      </c>
      <c r="L32" s="7" t="s">
        <v>86</v>
      </c>
    </row>
    <row x14ac:dyDescent="0.25" r="33" customHeight="1" ht="17.25">
      <c r="A33" s="13" t="s">
        <v>103</v>
      </c>
      <c r="B33" s="7" t="s">
        <v>104</v>
      </c>
      <c r="C33" s="7" t="s">
        <v>105</v>
      </c>
      <c r="D33" s="1" t="s">
        <v>33</v>
      </c>
      <c r="E33" s="1" t="s">
        <v>33</v>
      </c>
      <c r="F33" s="1" t="s">
        <v>33</v>
      </c>
      <c r="G33" s="1" t="s">
        <v>33</v>
      </c>
      <c r="H33" s="7"/>
      <c r="I33" s="14"/>
      <c r="J33" s="7"/>
      <c r="K33" s="1" t="s">
        <v>33</v>
      </c>
      <c r="L33" s="7" t="s">
        <v>106</v>
      </c>
    </row>
    <row x14ac:dyDescent="0.25" r="34" customHeight="1" ht="17.25">
      <c r="A34" s="13" t="s">
        <v>107</v>
      </c>
      <c r="B34" s="7" t="s">
        <v>108</v>
      </c>
      <c r="C34" s="7" t="s">
        <v>109</v>
      </c>
      <c r="D34" s="1" t="s">
        <v>33</v>
      </c>
      <c r="E34" s="1" t="s">
        <v>33</v>
      </c>
      <c r="F34" s="1" t="s">
        <v>33</v>
      </c>
      <c r="G34" s="1" t="s">
        <v>33</v>
      </c>
      <c r="H34" s="7"/>
      <c r="I34" s="14"/>
      <c r="J34" s="7"/>
      <c r="K34" s="1" t="s">
        <v>33</v>
      </c>
      <c r="L34" s="7" t="s">
        <v>106</v>
      </c>
    </row>
    <row x14ac:dyDescent="0.25" r="35" customHeight="1" ht="17.25">
      <c r="A35" s="13" t="s">
        <v>110</v>
      </c>
      <c r="B35" s="7" t="s">
        <v>111</v>
      </c>
      <c r="C35" s="7" t="s">
        <v>45</v>
      </c>
      <c r="D35" s="1" t="s">
        <v>33</v>
      </c>
      <c r="E35" s="1" t="s">
        <v>33</v>
      </c>
      <c r="F35" s="1" t="s">
        <v>33</v>
      </c>
      <c r="G35" s="1" t="s">
        <v>33</v>
      </c>
      <c r="H35" s="7"/>
      <c r="I35" s="14"/>
      <c r="J35" s="7"/>
      <c r="K35" s="1" t="s">
        <v>33</v>
      </c>
      <c r="L35" s="7" t="s">
        <v>112</v>
      </c>
    </row>
    <row x14ac:dyDescent="0.25" r="36" customHeight="1" ht="17.25">
      <c r="A36" s="13" t="s">
        <v>113</v>
      </c>
      <c r="B36" s="7" t="s">
        <v>114</v>
      </c>
      <c r="C36" s="7" t="s">
        <v>109</v>
      </c>
      <c r="D36" s="1" t="s">
        <v>33</v>
      </c>
      <c r="E36" s="1" t="s">
        <v>33</v>
      </c>
      <c r="F36" s="14"/>
      <c r="G36" s="1" t="s">
        <v>33</v>
      </c>
      <c r="H36" s="7"/>
      <c r="I36" s="14"/>
      <c r="J36" s="7"/>
      <c r="K36" s="1" t="s">
        <v>33</v>
      </c>
      <c r="L36" s="7" t="s">
        <v>115</v>
      </c>
    </row>
    <row x14ac:dyDescent="0.25" r="37" customHeight="1" ht="17.25">
      <c r="A37" s="13" t="s">
        <v>116</v>
      </c>
      <c r="B37" s="7" t="s">
        <v>117</v>
      </c>
      <c r="C37" s="7" t="s">
        <v>109</v>
      </c>
      <c r="D37" s="1" t="s">
        <v>33</v>
      </c>
      <c r="E37" s="1" t="s">
        <v>33</v>
      </c>
      <c r="F37" s="14"/>
      <c r="G37" s="1" t="s">
        <v>33</v>
      </c>
      <c r="H37" s="7"/>
      <c r="I37" s="14"/>
      <c r="J37" s="7"/>
      <c r="K37" s="1" t="s">
        <v>33</v>
      </c>
      <c r="L37" s="7" t="s">
        <v>115</v>
      </c>
    </row>
    <row x14ac:dyDescent="0.25" r="38" customHeight="1" ht="17.25">
      <c r="A38" s="13" t="s">
        <v>118</v>
      </c>
      <c r="B38" s="7" t="s">
        <v>119</v>
      </c>
      <c r="C38" s="7" t="s">
        <v>109</v>
      </c>
      <c r="D38" s="1" t="s">
        <v>33</v>
      </c>
      <c r="E38" s="1" t="s">
        <v>33</v>
      </c>
      <c r="F38" s="14"/>
      <c r="G38" s="1" t="s">
        <v>33</v>
      </c>
      <c r="H38" s="7"/>
      <c r="I38" s="14"/>
      <c r="J38" s="7"/>
      <c r="K38" s="1" t="s">
        <v>33</v>
      </c>
      <c r="L38" s="7" t="s">
        <v>115</v>
      </c>
    </row>
    <row x14ac:dyDescent="0.25" r="39" customHeight="1" ht="17.25">
      <c r="A39" s="13" t="s">
        <v>120</v>
      </c>
      <c r="B39" s="7" t="s">
        <v>121</v>
      </c>
      <c r="C39" s="7" t="s">
        <v>109</v>
      </c>
      <c r="D39" s="1" t="s">
        <v>33</v>
      </c>
      <c r="E39" s="1" t="s">
        <v>33</v>
      </c>
      <c r="F39" s="14"/>
      <c r="G39" s="1" t="s">
        <v>33</v>
      </c>
      <c r="H39" s="7"/>
      <c r="I39" s="14"/>
      <c r="J39" s="7"/>
      <c r="K39" s="1" t="s">
        <v>33</v>
      </c>
      <c r="L39" s="7" t="s">
        <v>112</v>
      </c>
    </row>
    <row x14ac:dyDescent="0.25" r="40" customHeight="1" ht="17.25">
      <c r="A40" s="13" t="s">
        <v>122</v>
      </c>
      <c r="B40" s="7" t="s">
        <v>123</v>
      </c>
      <c r="C40" s="7" t="s">
        <v>109</v>
      </c>
      <c r="D40" s="1" t="s">
        <v>33</v>
      </c>
      <c r="E40" s="1" t="s">
        <v>33</v>
      </c>
      <c r="F40" s="14"/>
      <c r="G40" s="1" t="s">
        <v>33</v>
      </c>
      <c r="H40" s="7"/>
      <c r="I40" s="14"/>
      <c r="J40" s="7"/>
      <c r="K40" s="1" t="s">
        <v>33</v>
      </c>
      <c r="L40" s="7" t="s">
        <v>112</v>
      </c>
    </row>
    <row x14ac:dyDescent="0.25" r="41" customHeight="1" ht="17.25">
      <c r="A41" s="13" t="s">
        <v>124</v>
      </c>
      <c r="B41" s="7" t="s">
        <v>125</v>
      </c>
      <c r="C41" s="7" t="s">
        <v>35</v>
      </c>
      <c r="D41" s="14"/>
      <c r="E41" s="14"/>
      <c r="F41" s="14"/>
      <c r="G41" s="1" t="s">
        <v>33</v>
      </c>
      <c r="H41" s="7"/>
      <c r="I41" s="1" t="s">
        <v>33</v>
      </c>
      <c r="J41" s="7"/>
      <c r="K41" s="7"/>
      <c r="L41" s="7"/>
    </row>
    <row x14ac:dyDescent="0.25" r="42" customHeight="1" ht="17.25">
      <c r="A42" s="13" t="s">
        <v>126</v>
      </c>
      <c r="B42" s="7" t="s">
        <v>127</v>
      </c>
      <c r="C42" s="7" t="s">
        <v>45</v>
      </c>
      <c r="D42" s="14"/>
      <c r="E42" s="14"/>
      <c r="F42" s="14"/>
      <c r="G42" s="1" t="s">
        <v>33</v>
      </c>
      <c r="H42" s="7"/>
      <c r="I42" s="1" t="s">
        <v>33</v>
      </c>
      <c r="J42" s="7"/>
      <c r="K42" s="7"/>
      <c r="L42" s="7"/>
    </row>
    <row x14ac:dyDescent="0.25" r="43" customHeight="1" ht="17.25">
      <c r="A43" s="13" t="s">
        <v>128</v>
      </c>
      <c r="B43" s="7" t="s">
        <v>129</v>
      </c>
      <c r="C43" s="7" t="s">
        <v>45</v>
      </c>
      <c r="D43" s="14"/>
      <c r="E43" s="14"/>
      <c r="F43" s="14"/>
      <c r="G43" s="1" t="s">
        <v>33</v>
      </c>
      <c r="H43" s="7"/>
      <c r="I43" s="1" t="s">
        <v>33</v>
      </c>
      <c r="J43" s="7"/>
      <c r="K43" s="7"/>
      <c r="L43" s="7"/>
    </row>
    <row x14ac:dyDescent="0.25" r="44" customHeight="1" ht="17.25">
      <c r="A44" s="13" t="s">
        <v>130</v>
      </c>
      <c r="B44" s="7" t="s">
        <v>131</v>
      </c>
      <c r="C44" s="7" t="s">
        <v>35</v>
      </c>
      <c r="D44" s="1" t="s">
        <v>33</v>
      </c>
      <c r="E44" s="1" t="s">
        <v>33</v>
      </c>
      <c r="F44" s="1" t="s">
        <v>33</v>
      </c>
      <c r="G44" s="7"/>
      <c r="H44" s="7"/>
      <c r="I44" s="1" t="s">
        <v>33</v>
      </c>
      <c r="J44" s="7"/>
      <c r="K44" s="7"/>
      <c r="L44" s="7"/>
    </row>
    <row x14ac:dyDescent="0.25" r="45" customHeight="1" ht="17.25">
      <c r="A45" s="13" t="s">
        <v>132</v>
      </c>
      <c r="B45" s="7" t="s">
        <v>133</v>
      </c>
      <c r="C45" s="7" t="s">
        <v>45</v>
      </c>
      <c r="D45" s="14"/>
      <c r="E45" s="14"/>
      <c r="F45" s="1" t="s">
        <v>33</v>
      </c>
      <c r="G45" s="7"/>
      <c r="H45" s="7"/>
      <c r="I45" s="1" t="s">
        <v>33</v>
      </c>
      <c r="J45" s="7"/>
      <c r="K45" s="7"/>
      <c r="L45" s="7"/>
    </row>
    <row x14ac:dyDescent="0.25" r="46" customHeight="1" ht="17.25">
      <c r="A46" s="13" t="s">
        <v>134</v>
      </c>
      <c r="B46" s="7" t="s">
        <v>135</v>
      </c>
      <c r="C46" s="7" t="s">
        <v>45</v>
      </c>
      <c r="D46" s="14"/>
      <c r="E46" s="14"/>
      <c r="F46" s="1" t="s">
        <v>33</v>
      </c>
      <c r="G46" s="7"/>
      <c r="H46" s="7"/>
      <c r="I46" s="1" t="s">
        <v>33</v>
      </c>
      <c r="J46" s="7"/>
      <c r="K46" s="7"/>
      <c r="L46" s="7"/>
    </row>
    <row x14ac:dyDescent="0.25" r="47" customHeight="1" ht="17.25">
      <c r="A47" s="13" t="s">
        <v>136</v>
      </c>
      <c r="B47" s="7" t="s">
        <v>137</v>
      </c>
      <c r="C47" s="7" t="s">
        <v>109</v>
      </c>
      <c r="D47" s="14"/>
      <c r="E47" s="14"/>
      <c r="F47" s="14"/>
      <c r="G47" s="7"/>
      <c r="H47" s="7"/>
      <c r="I47" s="14"/>
      <c r="J47" s="7"/>
      <c r="K47" s="1" t="s">
        <v>33</v>
      </c>
      <c r="L47" s="7" t="s">
        <v>138</v>
      </c>
    </row>
    <row x14ac:dyDescent="0.25" r="48" customHeight="1" ht="17.25">
      <c r="A48" s="13" t="s">
        <v>139</v>
      </c>
      <c r="B48" s="7" t="s">
        <v>140</v>
      </c>
      <c r="C48" s="7" t="s">
        <v>109</v>
      </c>
      <c r="D48" s="1" t="s">
        <v>33</v>
      </c>
      <c r="E48" s="1" t="s">
        <v>33</v>
      </c>
      <c r="F48" s="1" t="s">
        <v>33</v>
      </c>
      <c r="G48" s="1" t="s">
        <v>33</v>
      </c>
      <c r="H48" s="7"/>
      <c r="I48" s="14"/>
      <c r="J48" s="7"/>
      <c r="K48" s="1" t="s">
        <v>33</v>
      </c>
      <c r="L48" s="7" t="s">
        <v>138</v>
      </c>
    </row>
    <row x14ac:dyDescent="0.25" r="49" customHeight="1" ht="17.25">
      <c r="A49" s="13" t="s">
        <v>141</v>
      </c>
      <c r="B49" s="7" t="s">
        <v>142</v>
      </c>
      <c r="C49" s="7"/>
      <c r="D49" s="14"/>
      <c r="E49" s="14"/>
      <c r="F49" s="14"/>
      <c r="G49" s="7"/>
      <c r="H49" s="7"/>
      <c r="I49" s="1" t="s">
        <v>33</v>
      </c>
      <c r="J49" s="7"/>
      <c r="K49" s="7"/>
      <c r="L49" s="7"/>
    </row>
    <row x14ac:dyDescent="0.25" r="50" customHeight="1" ht="17.25">
      <c r="A50" s="13" t="s">
        <v>143</v>
      </c>
      <c r="B50" s="7" t="s">
        <v>144</v>
      </c>
      <c r="C50" s="7"/>
      <c r="D50" s="1" t="s">
        <v>33</v>
      </c>
      <c r="E50" s="1" t="s">
        <v>33</v>
      </c>
      <c r="F50" s="1" t="s">
        <v>33</v>
      </c>
      <c r="G50" s="1" t="s">
        <v>33</v>
      </c>
      <c r="H50" s="7"/>
      <c r="I50" s="1" t="s">
        <v>33</v>
      </c>
      <c r="J50" s="7"/>
      <c r="K50" s="7"/>
      <c r="L50" s="7"/>
    </row>
    <row x14ac:dyDescent="0.25" r="51" customHeight="1" ht="17.25">
      <c r="A51" s="13" t="s">
        <v>145</v>
      </c>
      <c r="B51" s="7" t="s">
        <v>146</v>
      </c>
      <c r="C51" s="7"/>
      <c r="D51" s="1" t="s">
        <v>33</v>
      </c>
      <c r="E51" s="1" t="s">
        <v>33</v>
      </c>
      <c r="F51" s="1" t="s">
        <v>33</v>
      </c>
      <c r="G51" s="7"/>
      <c r="H51" s="7"/>
      <c r="I51" s="1" t="s">
        <v>33</v>
      </c>
      <c r="J51" s="7"/>
      <c r="K51" s="7"/>
      <c r="L51" s="7"/>
    </row>
    <row x14ac:dyDescent="0.25" r="52" customHeight="1" ht="17.25">
      <c r="A52" s="13" t="s">
        <v>147</v>
      </c>
      <c r="B52" s="7" t="s">
        <v>148</v>
      </c>
      <c r="C52" s="7"/>
      <c r="D52" s="1" t="s">
        <v>33</v>
      </c>
      <c r="E52" s="1" t="s">
        <v>33</v>
      </c>
      <c r="F52" s="1" t="s">
        <v>33</v>
      </c>
      <c r="G52" s="7"/>
      <c r="H52" s="7"/>
      <c r="I52" s="1" t="s">
        <v>33</v>
      </c>
      <c r="J52" s="7"/>
      <c r="K52" s="7"/>
      <c r="L52" s="7"/>
    </row>
    <row x14ac:dyDescent="0.25" r="53" customHeight="1" ht="17.25">
      <c r="A53" s="13" t="s">
        <v>149</v>
      </c>
      <c r="B53" s="7" t="s">
        <v>150</v>
      </c>
      <c r="C53" s="7"/>
      <c r="D53" s="1" t="s">
        <v>33</v>
      </c>
      <c r="E53" s="1" t="s">
        <v>33</v>
      </c>
      <c r="F53" s="1" t="s">
        <v>33</v>
      </c>
      <c r="G53" s="7"/>
      <c r="H53" s="7"/>
      <c r="I53" s="1" t="s">
        <v>33</v>
      </c>
      <c r="J53" s="7"/>
      <c r="K53" s="7"/>
      <c r="L5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3"/>
  <sheetViews>
    <sheetView workbookViewId="0"/>
  </sheetViews>
  <sheetFormatPr defaultRowHeight="15" x14ac:dyDescent="0.25"/>
  <cols>
    <col min="1" max="1" style="11" width="11.576428571428572" customWidth="1" bestFit="1"/>
    <col min="2" max="2" style="12" width="11.576428571428572" customWidth="1" bestFit="1"/>
    <col min="3" max="3" style="12" width="24.290714285714284" customWidth="1" bestFit="1"/>
    <col min="4" max="4" style="12" width="29.719285714285714" customWidth="1" bestFit="1"/>
    <col min="5" max="5" style="12" width="12.147857142857141" customWidth="1" bestFit="1"/>
    <col min="6" max="6" style="12" width="11.576428571428572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x14ac:dyDescent="0.25" r="2" customHeight="1" ht="17.25">
      <c r="A2" s="4" t="s">
        <v>6</v>
      </c>
      <c r="B2" s="5">
        <v>2500</v>
      </c>
      <c r="C2" s="5">
        <v>3500</v>
      </c>
      <c r="D2" s="5">
        <v>2500</v>
      </c>
      <c r="E2" s="5">
        <v>2500</v>
      </c>
      <c r="F2" s="5">
        <v>0</v>
      </c>
    </row>
    <row x14ac:dyDescent="0.25" r="3" customHeight="1" ht="17.25">
      <c r="A3" s="6" t="s">
        <v>7</v>
      </c>
      <c r="B3" s="5">
        <v>2500</v>
      </c>
      <c r="C3" s="5">
        <v>3500</v>
      </c>
      <c r="D3" s="5">
        <v>2500</v>
      </c>
      <c r="E3" s="5">
        <v>2500</v>
      </c>
      <c r="F3" s="5">
        <v>0</v>
      </c>
    </row>
    <row x14ac:dyDescent="0.25" r="4" customHeight="1" ht="17.25">
      <c r="A4" s="6" t="s">
        <v>8</v>
      </c>
      <c r="B4" s="5">
        <v>10000</v>
      </c>
      <c r="C4" s="5">
        <v>3500</v>
      </c>
      <c r="D4" s="5">
        <v>10000</v>
      </c>
      <c r="E4" s="5">
        <v>5500</v>
      </c>
      <c r="F4" s="5">
        <v>4500</v>
      </c>
    </row>
    <row x14ac:dyDescent="0.25" r="5" customHeight="1" ht="17.25">
      <c r="A5" s="7"/>
      <c r="B5" s="8"/>
      <c r="C5" s="8"/>
      <c r="D5" s="8"/>
      <c r="E5" s="5">
        <v>3500</v>
      </c>
      <c r="F5" s="5">
        <v>6500</v>
      </c>
    </row>
    <row x14ac:dyDescent="0.25" r="6" customHeight="1" ht="17.25">
      <c r="A6" s="4" t="s">
        <v>9</v>
      </c>
      <c r="B6" s="5">
        <v>2500</v>
      </c>
      <c r="C6" s="5">
        <v>3500</v>
      </c>
      <c r="D6" s="5">
        <v>2500</v>
      </c>
      <c r="E6" s="5">
        <v>3500</v>
      </c>
      <c r="F6" s="5">
        <v>-1000</v>
      </c>
    </row>
    <row x14ac:dyDescent="0.25" r="7" customHeight="1" ht="17.25">
      <c r="A7" s="7"/>
      <c r="B7" s="8"/>
      <c r="C7" s="8"/>
      <c r="D7" s="8"/>
      <c r="E7" s="8"/>
      <c r="F7" s="8"/>
    </row>
    <row x14ac:dyDescent="0.25" r="8" customHeight="1" ht="17.25">
      <c r="A8" s="7"/>
      <c r="B8" s="8"/>
      <c r="C8" s="8"/>
      <c r="D8" s="9" t="s">
        <v>10</v>
      </c>
      <c r="E8" s="9">
        <f> 3 * plafond</f>
      </c>
      <c r="F8" s="5">
        <f>3*3500</f>
      </c>
    </row>
    <row x14ac:dyDescent="0.25" r="9" customHeight="1" ht="17.25">
      <c r="A9" s="7"/>
      <c r="B9" s="8"/>
      <c r="C9" s="8"/>
      <c r="D9" s="9" t="s">
        <v>11</v>
      </c>
      <c r="E9" s="9" t="s">
        <v>12</v>
      </c>
      <c r="F9" s="5">
        <v>5000</v>
      </c>
    </row>
    <row x14ac:dyDescent="0.25" r="10" customHeight="1" ht="17.25">
      <c r="A10" s="7"/>
      <c r="B10" s="8"/>
      <c r="C10" s="8"/>
      <c r="D10" s="9" t="s">
        <v>13</v>
      </c>
      <c r="E10" s="9" t="s">
        <v>14</v>
      </c>
      <c r="F10" s="5">
        <v>5500</v>
      </c>
    </row>
    <row x14ac:dyDescent="0.25" r="11" customHeight="1" ht="17.25">
      <c r="A11" s="7"/>
      <c r="B11" s="8"/>
      <c r="C11" s="8"/>
      <c r="D11" s="8"/>
      <c r="E11" s="8"/>
      <c r="F11" s="8"/>
    </row>
    <row x14ac:dyDescent="0.25" r="12" customHeight="1" ht="17.25">
      <c r="A12" s="7"/>
      <c r="B12" s="8"/>
      <c r="C12" s="8"/>
      <c r="D12" s="9" t="s">
        <v>15</v>
      </c>
      <c r="E12" s="8"/>
      <c r="F12" s="10" t="s">
        <v>16</v>
      </c>
    </row>
    <row x14ac:dyDescent="0.25" r="13" customHeight="1" ht="17.25">
      <c r="A13" s="7"/>
      <c r="B13" s="8"/>
      <c r="C13" s="8"/>
      <c r="D13" s="8"/>
      <c r="E13" s="8"/>
      <c r="F13" s="1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COTISATIONS 2</vt:lpstr>
      <vt:lpstr>REMUNERATIONS</vt:lpstr>
      <vt:lpstr>COTISATIONS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2025-11-10T20:45:50.488Z</dcterms:created>
  <dcterms:modified xsi:type="dcterms:W3CDTF">2025-11-10T20:45:50.488Z</dcterms:modified>
</cp:coreProperties>
</file>